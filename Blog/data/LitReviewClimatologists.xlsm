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oyd\Documents\DSC640\"/>
    </mc:Choice>
  </mc:AlternateContent>
  <xr:revisionPtr revIDLastSave="0" documentId="13_ncr:1_{2CC71C7D-BB53-4737-A9D3-C0E19B754358}" xr6:coauthVersionLast="45" xr6:coauthVersionMax="45" xr10:uidLastSave="{00000000-0000-0000-0000-000000000000}"/>
  <bookViews>
    <workbookView xWindow="-108" yWindow="-108" windowWidth="23256" windowHeight="12576" activeTab="1" xr2:uid="{124CA76F-04F7-4088-A4C8-BE5743FCD08D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8" i="1" l="1"/>
  <c r="C18" i="1"/>
  <c r="E18" i="1"/>
  <c r="E5" i="1"/>
  <c r="E17" i="1"/>
  <c r="E16" i="1"/>
  <c r="E15" i="1"/>
  <c r="E14" i="1"/>
  <c r="E13" i="1"/>
  <c r="E12" i="1"/>
  <c r="E11" i="1"/>
  <c r="E10" i="1"/>
  <c r="E9" i="1"/>
  <c r="E8" i="1"/>
  <c r="E7" i="1"/>
  <c r="E6" i="1"/>
  <c r="E4" i="1"/>
  <c r="E3" i="1"/>
  <c r="E2" i="1"/>
</calcChain>
</file>

<file path=xl/sharedStrings.xml><?xml version="1.0" encoding="utf-8"?>
<sst xmlns="http://schemas.openxmlformats.org/spreadsheetml/2006/main" count="28" uniqueCount="26">
  <si>
    <t>Carlton</t>
  </si>
  <si>
    <t>Climatologist_sample</t>
  </si>
  <si>
    <t>consensus_per</t>
  </si>
  <si>
    <t>source</t>
  </si>
  <si>
    <t>published</t>
  </si>
  <si>
    <t>Gallup</t>
  </si>
  <si>
    <t>Oreskes</t>
  </si>
  <si>
    <t>Anderegg</t>
  </si>
  <si>
    <t>Bray</t>
  </si>
  <si>
    <t>Rosenberg</t>
  </si>
  <si>
    <t>Farnworth &amp; Lichter</t>
  </si>
  <si>
    <t>Stenhose</t>
  </si>
  <si>
    <t>Pew</t>
  </si>
  <si>
    <t>Doran  and Zimmerman</t>
  </si>
  <si>
    <t>Total</t>
  </si>
  <si>
    <t xml:space="preserve">Bray &amp; Von Storch </t>
  </si>
  <si>
    <t>Verheggen Part B</t>
  </si>
  <si>
    <t>Verheggen Part A</t>
  </si>
  <si>
    <t>Cook Part A</t>
  </si>
  <si>
    <t>Cook Part B</t>
  </si>
  <si>
    <t>Consensus</t>
  </si>
  <si>
    <t>Type</t>
  </si>
  <si>
    <t>Count</t>
  </si>
  <si>
    <t>Percent</t>
  </si>
  <si>
    <t>No Support</t>
  </si>
  <si>
    <t>Human Cause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</si>
</sst>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C6654-2A0C-4D30-B886-E88F7192222A}">
  <dimension ref="A1:E18"/>
  <sheetViews>
    <sheetView workbookViewId="0">
      <selection activeCell="C18" sqref="C18"/>
    </sheetView>
  </sheetViews>
  <sheetFormatPr defaultRowHeight="14.4" x14ac:dyDescent="0.3"/>
  <cols>
    <col min="1" max="1" width="22.88671875" customWidth="1"/>
    <col min="3" max="3" width="24" customWidth="1"/>
    <col min="4" max="4" width="14.6640625" customWidth="1"/>
  </cols>
  <sheetData>
    <row r="1" spans="1:5" x14ac:dyDescent="0.3">
      <c r="A1" t="s">
        <v>3</v>
      </c>
      <c r="B1" t="s">
        <v>4</v>
      </c>
      <c r="C1" t="s">
        <v>1</v>
      </c>
      <c r="D1" t="s">
        <v>2</v>
      </c>
      <c r="E1" t="s">
        <v>20</v>
      </c>
    </row>
    <row r="2" spans="1:5" x14ac:dyDescent="0.3">
      <c r="A2" t="s">
        <v>5</v>
      </c>
      <c r="B2">
        <v>1991</v>
      </c>
      <c r="C2">
        <v>97</v>
      </c>
      <c r="D2">
        <v>0.67</v>
      </c>
      <c r="E2">
        <f>PRODUCT(ROUND(PRODUCT(C2:D2),0))</f>
        <v>65</v>
      </c>
    </row>
    <row r="3" spans="1:5" x14ac:dyDescent="0.3">
      <c r="A3" t="s">
        <v>6</v>
      </c>
      <c r="B3">
        <v>2004</v>
      </c>
      <c r="C3">
        <v>928</v>
      </c>
      <c r="D3">
        <v>1</v>
      </c>
      <c r="E3">
        <f t="shared" ref="E3:E17" si="0">PRODUCT(ROUND(PRODUCT(C3:D3),0))</f>
        <v>928</v>
      </c>
    </row>
    <row r="4" spans="1:5" x14ac:dyDescent="0.3">
      <c r="A4" t="s">
        <v>15</v>
      </c>
      <c r="B4">
        <v>2007</v>
      </c>
      <c r="C4">
        <v>0</v>
      </c>
      <c r="D4">
        <v>0</v>
      </c>
      <c r="E4">
        <f t="shared" si="0"/>
        <v>0</v>
      </c>
    </row>
    <row r="5" spans="1:5" x14ac:dyDescent="0.3">
      <c r="A5" t="s">
        <v>15</v>
      </c>
      <c r="B5">
        <v>2007</v>
      </c>
      <c r="C5">
        <v>0</v>
      </c>
      <c r="D5">
        <v>0</v>
      </c>
      <c r="E5">
        <f t="shared" ref="E5" si="1">PRODUCT(ROUND(PRODUCT(C5:D5),0))</f>
        <v>0</v>
      </c>
    </row>
    <row r="6" spans="1:5" x14ac:dyDescent="0.3">
      <c r="A6" t="s">
        <v>13</v>
      </c>
      <c r="B6">
        <v>2009</v>
      </c>
      <c r="C6">
        <v>77</v>
      </c>
      <c r="D6">
        <v>0.97</v>
      </c>
      <c r="E6">
        <f t="shared" si="0"/>
        <v>75</v>
      </c>
    </row>
    <row r="7" spans="1:5" x14ac:dyDescent="0.3">
      <c r="A7" t="s">
        <v>7</v>
      </c>
      <c r="B7">
        <v>2010</v>
      </c>
      <c r="C7">
        <v>200</v>
      </c>
      <c r="D7">
        <v>0.97</v>
      </c>
      <c r="E7">
        <f t="shared" si="0"/>
        <v>194</v>
      </c>
    </row>
    <row r="8" spans="1:5" x14ac:dyDescent="0.3">
      <c r="A8" t="s">
        <v>8</v>
      </c>
      <c r="B8">
        <v>2010</v>
      </c>
      <c r="C8">
        <v>370</v>
      </c>
      <c r="D8">
        <v>0.83499999999999996</v>
      </c>
      <c r="E8">
        <f t="shared" si="0"/>
        <v>309</v>
      </c>
    </row>
    <row r="9" spans="1:5" x14ac:dyDescent="0.3">
      <c r="A9" t="s">
        <v>9</v>
      </c>
      <c r="B9">
        <v>2005</v>
      </c>
      <c r="C9">
        <v>433</v>
      </c>
      <c r="D9">
        <v>0.88500000000000001</v>
      </c>
      <c r="E9">
        <f t="shared" si="0"/>
        <v>383</v>
      </c>
    </row>
    <row r="10" spans="1:5" x14ac:dyDescent="0.3">
      <c r="A10" t="s">
        <v>10</v>
      </c>
      <c r="B10">
        <v>2012</v>
      </c>
      <c r="C10">
        <v>0</v>
      </c>
      <c r="D10">
        <v>0</v>
      </c>
      <c r="E10">
        <f t="shared" si="0"/>
        <v>0</v>
      </c>
    </row>
    <row r="11" spans="1:5" x14ac:dyDescent="0.3">
      <c r="A11" t="s">
        <v>18</v>
      </c>
      <c r="B11">
        <v>2013</v>
      </c>
      <c r="C11">
        <v>4014</v>
      </c>
      <c r="D11">
        <v>0.97099999999999997</v>
      </c>
      <c r="E11">
        <f t="shared" si="0"/>
        <v>3898</v>
      </c>
    </row>
    <row r="12" spans="1:5" x14ac:dyDescent="0.3">
      <c r="A12" t="s">
        <v>19</v>
      </c>
      <c r="B12">
        <v>2013</v>
      </c>
      <c r="C12">
        <v>1381</v>
      </c>
      <c r="D12">
        <v>0.97199999999999998</v>
      </c>
      <c r="E12">
        <f t="shared" si="0"/>
        <v>1342</v>
      </c>
    </row>
    <row r="13" spans="1:5" x14ac:dyDescent="0.3">
      <c r="A13" t="s">
        <v>11</v>
      </c>
      <c r="B13">
        <v>2014</v>
      </c>
      <c r="C13">
        <v>124</v>
      </c>
      <c r="D13">
        <v>0.93</v>
      </c>
      <c r="E13">
        <f t="shared" si="0"/>
        <v>115</v>
      </c>
    </row>
    <row r="14" spans="1:5" x14ac:dyDescent="0.3">
      <c r="A14" t="s">
        <v>17</v>
      </c>
      <c r="B14">
        <v>2012</v>
      </c>
      <c r="C14">
        <v>623</v>
      </c>
      <c r="D14">
        <v>0.89</v>
      </c>
      <c r="E14">
        <f t="shared" si="0"/>
        <v>554</v>
      </c>
    </row>
    <row r="15" spans="1:5" x14ac:dyDescent="0.3">
      <c r="A15" t="s">
        <v>16</v>
      </c>
      <c r="B15">
        <v>2012</v>
      </c>
      <c r="C15">
        <v>729</v>
      </c>
      <c r="D15">
        <v>0.91</v>
      </c>
      <c r="E15">
        <f t="shared" si="0"/>
        <v>663</v>
      </c>
    </row>
    <row r="16" spans="1:5" x14ac:dyDescent="0.3">
      <c r="A16" t="s">
        <v>12</v>
      </c>
      <c r="B16">
        <v>2015</v>
      </c>
      <c r="C16">
        <v>132</v>
      </c>
      <c r="D16">
        <v>0.93</v>
      </c>
      <c r="E16">
        <f t="shared" si="0"/>
        <v>123</v>
      </c>
    </row>
    <row r="17" spans="1:5" x14ac:dyDescent="0.3">
      <c r="A17" t="s">
        <v>0</v>
      </c>
      <c r="B17">
        <v>2014</v>
      </c>
      <c r="C17">
        <v>306</v>
      </c>
      <c r="D17">
        <v>0.96699999999999997</v>
      </c>
      <c r="E17">
        <f t="shared" si="0"/>
        <v>296</v>
      </c>
    </row>
    <row r="18" spans="1:5" x14ac:dyDescent="0.3">
      <c r="A18" t="s">
        <v>14</v>
      </c>
      <c r="C18">
        <f>SUM(C2:C17)</f>
        <v>9414</v>
      </c>
      <c r="D18">
        <f>E18/C18</f>
        <v>0.9501805821117485</v>
      </c>
      <c r="E18">
        <f>SUM(E2:E17)</f>
        <v>8945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8B7EA-7699-401C-B158-A95251BB2063}">
  <dimension ref="A1:C4"/>
  <sheetViews>
    <sheetView tabSelected="1" workbookViewId="0">
      <selection activeCell="B7" sqref="B7"/>
    </sheetView>
  </sheetViews>
  <sheetFormatPr defaultRowHeight="14.4" x14ac:dyDescent="0.3"/>
  <cols>
    <col min="1" max="1" width="13.21875" customWidth="1"/>
  </cols>
  <sheetData>
    <row r="1" spans="1:3" x14ac:dyDescent="0.3">
      <c r="A1" t="s">
        <v>21</v>
      </c>
      <c r="B1" t="s">
        <v>22</v>
      </c>
      <c r="C1" t="s">
        <v>23</v>
      </c>
    </row>
    <row r="2" spans="1:3" x14ac:dyDescent="0.3">
      <c r="A2" t="s">
        <v>25</v>
      </c>
      <c r="B2">
        <v>8945</v>
      </c>
      <c r="C2">
        <v>95</v>
      </c>
    </row>
    <row r="3" spans="1:3" x14ac:dyDescent="0.3">
      <c r="A3" t="s">
        <v>24</v>
      </c>
      <c r="B3">
        <v>469</v>
      </c>
      <c r="C3">
        <v>5</v>
      </c>
    </row>
    <row r="4" spans="1:3" x14ac:dyDescent="0.3">
      <c r="A4" t="s">
        <v>14</v>
      </c>
      <c r="B4">
        <v>9414</v>
      </c>
      <c r="C4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Loyd</dc:creator>
  <cp:lastModifiedBy>Loyd</cp:lastModifiedBy>
  <dcterms:created xsi:type="dcterms:W3CDTF">2021-01-31T18:56:34Z</dcterms:created>
  <dcterms:modified xsi:type="dcterms:W3CDTF">2021-01-31T23:02:15Z</dcterms:modified>
</cp:coreProperties>
</file>